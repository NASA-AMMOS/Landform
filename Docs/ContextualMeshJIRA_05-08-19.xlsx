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enzies\Desktop\"/>
    </mc:Choice>
  </mc:AlternateContent>
  <bookViews>
    <workbookView xWindow="0" yWindow="0" windowWidth="29970" windowHeight="15495"/>
  </bookViews>
  <sheets>
    <sheet name="Jira" sheetId="2" r:id="rId1"/>
  </sheets>
  <calcPr calcId="152511"/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2" i="2"/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2" i="2"/>
  <c r="H16" i="2" l="1"/>
  <c r="G16" i="2"/>
  <c r="F16" i="2"/>
  <c r="E16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2" i="2"/>
</calcChain>
</file>

<file path=xl/sharedStrings.xml><?xml version="1.0" encoding="utf-8"?>
<sst xmlns="http://schemas.openxmlformats.org/spreadsheetml/2006/main" count="74" uniqueCount="55">
  <si>
    <t>MSGDS-1916</t>
  </si>
  <si>
    <t>Ingest M2020 image products and integration with IDS / CS3</t>
  </si>
  <si>
    <t>G6.1 Srf Capabilities</t>
  </si>
  <si>
    <t>Add support for reading M2020 dataproducts and pulling them from CS3</t>
  </si>
  <si>
    <t>New (replaces MSGDS-1917)</t>
  </si>
  <si>
    <t>Generate contextual mesh product using ROASTT or Mars Yard dataset</t>
  </si>
  <si>
    <t>Build an example contextual mesh using data captured in the Mars Yard or during the ROASTT</t>
  </si>
  <si>
    <t>MSGDS-2125</t>
  </si>
  <si>
    <t>Add support for orbital data products</t>
  </si>
  <si>
    <t>G6.2 Srf Capabilities</t>
  </si>
  <si>
    <t>Add support for using orbital (or simulated orbital) data products when generating the contextual mesh</t>
  </si>
  <si>
    <t>MSGDS-2123</t>
  </si>
  <si>
    <t>Exposure seam correction</t>
  </si>
  <si>
    <t>Corrects for brightness differences between images and removes "patchwork quilt" artifact</t>
  </si>
  <si>
    <t>New (replaces MSGDS-1925)</t>
  </si>
  <si>
    <t>Sky sphere generation</t>
  </si>
  <si>
    <t>Allows distant terrain and horizon to be efficently rendered as a sky sphere</t>
  </si>
  <si>
    <t>New (replaces MSGDS-2124)</t>
  </si>
  <si>
    <t>Increase size of reconstruction area</t>
  </si>
  <si>
    <t>Double the reconstruction volume size from 32 to 64 meters allowing scientists to explore further within a single scene</t>
  </si>
  <si>
    <t>MSGDS-1921</t>
  </si>
  <si>
    <t>Publish alignment results to PLACES</t>
  </si>
  <si>
    <t>G6.3 Srf Capabilities</t>
  </si>
  <si>
    <t>Publish alignment results to places allowing other tools to ingest them</t>
  </si>
  <si>
    <t>MSGDS-1907</t>
  </si>
  <si>
    <t>Cloud deployment and automatic build process</t>
  </si>
  <si>
    <t>Deploy to the cloud allowing contextual mesh to be automaticlly generated when new data arrives</t>
  </si>
  <si>
    <t>MSGDS-1935</t>
  </si>
  <si>
    <t>Overlay support for Reachibility, Roughness, etc.</t>
  </si>
  <si>
    <t>G6.4 Srf Capabilities</t>
  </si>
  <si>
    <t>Add support for overlaying different types of products on the contextual mesh</t>
  </si>
  <si>
    <t>MSGDS-2129</t>
  </si>
  <si>
    <t>Multi-viewpoint depth reconstruction</t>
  </si>
  <si>
    <t>Further refine mesh using multi-viewpoint stereo between site drives</t>
  </si>
  <si>
    <t>MSGDS-1932</t>
  </si>
  <si>
    <t>Validation</t>
  </si>
  <si>
    <t>Validate consistency of mesh against other mission products</t>
  </si>
  <si>
    <t>MSGDS-1929</t>
  </si>
  <si>
    <t>Windowed leaf tile generation</t>
  </si>
  <si>
    <t>G6.6 Srf Capabilities</t>
  </si>
  <si>
    <t>Enables distributed generation of contextual mesh</t>
  </si>
  <si>
    <t>MSGDS-2127</t>
  </si>
  <si>
    <t>1st (of 2) Incremental scene updates</t>
  </si>
  <si>
    <t>Allows scenes to be upgraded rather than completly regenerated when new data arrives - increasing performance and reducing generation time / cost</t>
  </si>
  <si>
    <t>MSGDS-2128</t>
  </si>
  <si>
    <t>2nd (of 2) Incremental scene updates</t>
  </si>
  <si>
    <t>Ticket</t>
  </si>
  <si>
    <t>Title</t>
  </si>
  <si>
    <t>Release</t>
  </si>
  <si>
    <t>Description</t>
  </si>
  <si>
    <t>W-W</t>
  </si>
  <si>
    <t>W-M</t>
  </si>
  <si>
    <t>TOTAL</t>
  </si>
  <si>
    <t>G6.5 Srf Capabilities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</si>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</sst>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color rgb="FF000000"/>
      <name val="Arial"/>
    </font>
    <font>
      <b/>
      <sz val="15"/>
      <color theme="3"/>
      <name val="Calibri"/>
      <family val="2"/>
      <scheme val="minor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4"/>
      <color rgb="FF0432FF"/>
      <name val="Arial"/>
      <family val="2"/>
    </font>
    <font>
      <b/>
      <sz val="14"/>
      <color rgb="FFFF0000"/>
      <name val="Arial"/>
      <family val="2"/>
    </font>
    <font>
      <b/>
      <strike/>
      <sz val="15"/>
      <color theme="1"/>
      <name val="Calibri"/>
      <family val="2"/>
      <scheme val="minor"/>
    </font>
    <font>
      <strike/>
      <sz val="14"/>
      <color theme="1"/>
      <name val="Arial"/>
      <family val="2"/>
    </font>
    <font>
      <b/>
      <strike/>
      <sz val="14"/>
      <color theme="1"/>
      <name val="Arial"/>
      <family val="2"/>
    </font>
    <font>
      <strike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8">
    <xf numFmtId="0" fontId="0" fillId="0" borderId="0" xfId="0" applyFont="1" applyAlignment="1"/>
    <xf numFmtId="0" fontId="3" fillId="0" borderId="0" xfId="0" applyFont="1" applyAlignment="1"/>
    <xf numFmtId="0" fontId="1" fillId="0" borderId="1" xfId="1" applyAlignment="1">
      <alignment horizontal="left" vertical="top"/>
    </xf>
    <xf numFmtId="0" fontId="1" fillId="0" borderId="1" xfId="1" applyAlignment="1">
      <alignment vertical="top"/>
    </xf>
    <xf numFmtId="0" fontId="1" fillId="0" borderId="1" xfId="1" applyAlignment="1"/>
    <xf numFmtId="0" fontId="2" fillId="0" borderId="0" xfId="0" applyFont="1" applyAlignment="1">
      <alignment horizontal="left"/>
    </xf>
    <xf numFmtId="0" fontId="2" fillId="0" borderId="0" xfId="0" applyFont="1" applyAlignment="1"/>
    <xf numFmtId="0" fontId="4" fillId="0" borderId="0" xfId="0" applyFont="1" applyAlignment="1"/>
    <xf numFmtId="0" fontId="1" fillId="0" borderId="1" xfId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 applyAlignment="1"/>
    <xf numFmtId="0" fontId="7" fillId="0" borderId="0" xfId="0" applyFont="1" applyAlignment="1"/>
    <xf numFmtId="0" fontId="1" fillId="0" borderId="0" xfId="1" applyFill="1" applyBorder="1" applyAlignment="1">
      <alignment horizontal="right"/>
    </xf>
    <xf numFmtId="0" fontId="8" fillId="0" borderId="1" xfId="1" applyFont="1" applyAlignment="1">
      <alignment horizontal="right"/>
    </xf>
    <xf numFmtId="0" fontId="9" fillId="0" borderId="0" xfId="0" applyFont="1" applyAlignment="1"/>
    <xf numFmtId="0" fontId="9" fillId="0" borderId="2" xfId="0" applyFont="1" applyBorder="1" applyAlignment="1"/>
    <xf numFmtId="0" fontId="10" fillId="0" borderId="0" xfId="0" applyFont="1" applyAlignment="1"/>
    <xf numFmtId="0" fontId="11" fillId="0" borderId="0" xfId="0" applyFont="1" applyAlignment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6"/>
  <sheetViews>
    <sheetView tabSelected="1" zoomScale="84" zoomScaleNormal="84" workbookViewId="0">
      <selection activeCell="E1" sqref="E1:F1048576"/>
    </sheetView>
  </sheetViews>
  <sheetFormatPr defaultColWidth="14.42578125" defaultRowHeight="15.75" customHeight="1" x14ac:dyDescent="0.2"/>
  <cols>
    <col min="1" max="1" width="34.42578125" style="1" customWidth="1"/>
    <col min="2" max="2" width="73.42578125" style="1" customWidth="1"/>
    <col min="3" max="3" width="30.140625" style="1" customWidth="1"/>
    <col min="4" max="4" width="120" style="1" customWidth="1"/>
    <col min="5" max="6" width="0" style="17" hidden="1" customWidth="1"/>
    <col min="7" max="9" width="14.42578125" style="1"/>
    <col min="10" max="10" width="21.7109375" style="1" customWidth="1"/>
    <col min="11" max="16384" width="14.42578125" style="1"/>
  </cols>
  <sheetData>
    <row r="1" spans="1:12" ht="20.25" thickBot="1" x14ac:dyDescent="0.35">
      <c r="A1" s="2" t="s">
        <v>46</v>
      </c>
      <c r="B1" s="3" t="s">
        <v>47</v>
      </c>
      <c r="C1" s="3" t="s">
        <v>48</v>
      </c>
      <c r="D1" s="4" t="s">
        <v>49</v>
      </c>
      <c r="E1" s="13" t="s">
        <v>50</v>
      </c>
      <c r="F1" s="13" t="s">
        <v>51</v>
      </c>
      <c r="G1" s="8" t="s">
        <v>50</v>
      </c>
      <c r="H1" s="8" t="s">
        <v>51</v>
      </c>
      <c r="J1" s="12" t="s">
        <v>48</v>
      </c>
      <c r="K1" s="12" t="s">
        <v>50</v>
      </c>
      <c r="L1" s="12" t="s">
        <v>54</v>
      </c>
    </row>
    <row r="2" spans="1:12" ht="20.100000000000001" customHeight="1" thickTop="1" x14ac:dyDescent="0.25">
      <c r="A2" s="5" t="s">
        <v>0</v>
      </c>
      <c r="B2" s="6" t="s">
        <v>1</v>
      </c>
      <c r="C2" s="6" t="s">
        <v>2</v>
      </c>
      <c r="D2" s="7" t="s">
        <v>3</v>
      </c>
      <c r="E2" s="14">
        <v>14</v>
      </c>
      <c r="F2" s="14">
        <f>ROUND(E2/4, 1)</f>
        <v>3.5</v>
      </c>
      <c r="G2" s="11">
        <v>2</v>
      </c>
      <c r="H2" s="11">
        <f>ROUND(G2/4,1)</f>
        <v>0.5</v>
      </c>
      <c r="J2" s="6" t="s">
        <v>2</v>
      </c>
      <c r="K2" s="1">
        <f>SUMIF($C$2:$C$15, "=" &amp;J2, $G$2:$G$15)</f>
        <v>10</v>
      </c>
      <c r="L2" s="1">
        <v>8</v>
      </c>
    </row>
    <row r="3" spans="1:12" ht="20.100000000000001" customHeight="1" x14ac:dyDescent="0.25">
      <c r="A3" s="5" t="s">
        <v>4</v>
      </c>
      <c r="B3" s="6" t="s">
        <v>5</v>
      </c>
      <c r="C3" s="6" t="s">
        <v>2</v>
      </c>
      <c r="D3" s="7" t="s">
        <v>6</v>
      </c>
      <c r="E3" s="14">
        <v>14</v>
      </c>
      <c r="F3" s="14">
        <f t="shared" ref="F3:F15" si="0">ROUND(E3/4, 1)</f>
        <v>3.5</v>
      </c>
      <c r="G3" s="11">
        <v>8</v>
      </c>
      <c r="H3" s="11">
        <f t="shared" ref="H3:H15" si="1">ROUND(G3/4,1)</f>
        <v>2</v>
      </c>
      <c r="J3" s="6" t="s">
        <v>9</v>
      </c>
      <c r="K3" s="1">
        <f t="shared" ref="K3:K7" si="2">SUMIF($C$2:$C$15, "=" &amp;J3, $G$2:$G$15)</f>
        <v>18</v>
      </c>
      <c r="L3" s="1">
        <v>19.600000000000001</v>
      </c>
    </row>
    <row r="4" spans="1:12" ht="20.100000000000001" customHeight="1" x14ac:dyDescent="0.25">
      <c r="A4" s="5" t="s">
        <v>7</v>
      </c>
      <c r="B4" s="6" t="s">
        <v>8</v>
      </c>
      <c r="C4" s="6" t="s">
        <v>9</v>
      </c>
      <c r="D4" s="7" t="s">
        <v>10</v>
      </c>
      <c r="E4" s="14">
        <v>6</v>
      </c>
      <c r="F4" s="14">
        <f t="shared" si="0"/>
        <v>1.5</v>
      </c>
      <c r="G4" s="11">
        <v>3</v>
      </c>
      <c r="H4" s="11">
        <f t="shared" si="1"/>
        <v>0.8</v>
      </c>
      <c r="J4" s="6" t="s">
        <v>22</v>
      </c>
      <c r="K4" s="1">
        <f t="shared" si="2"/>
        <v>7</v>
      </c>
      <c r="L4" s="1">
        <v>7.8</v>
      </c>
    </row>
    <row r="5" spans="1:12" ht="20.100000000000001" customHeight="1" x14ac:dyDescent="0.25">
      <c r="A5" s="5" t="s">
        <v>11</v>
      </c>
      <c r="B5" s="6" t="s">
        <v>12</v>
      </c>
      <c r="C5" s="6" t="s">
        <v>9</v>
      </c>
      <c r="D5" s="7" t="s">
        <v>13</v>
      </c>
      <c r="E5" s="14">
        <v>10</v>
      </c>
      <c r="F5" s="14">
        <f t="shared" si="0"/>
        <v>2.5</v>
      </c>
      <c r="G5" s="11">
        <v>8</v>
      </c>
      <c r="H5" s="11">
        <f t="shared" si="1"/>
        <v>2</v>
      </c>
      <c r="J5" s="6" t="s">
        <v>29</v>
      </c>
      <c r="K5" s="1">
        <f t="shared" si="2"/>
        <v>9</v>
      </c>
      <c r="L5" s="1">
        <v>7.8</v>
      </c>
    </row>
    <row r="6" spans="1:12" ht="20.100000000000001" customHeight="1" x14ac:dyDescent="0.25">
      <c r="A6" s="5" t="s">
        <v>17</v>
      </c>
      <c r="B6" s="6" t="s">
        <v>18</v>
      </c>
      <c r="C6" s="6" t="s">
        <v>9</v>
      </c>
      <c r="D6" s="6" t="s">
        <v>19</v>
      </c>
      <c r="E6" s="14">
        <v>8</v>
      </c>
      <c r="F6" s="14">
        <f t="shared" si="0"/>
        <v>2</v>
      </c>
      <c r="G6" s="11">
        <v>4</v>
      </c>
      <c r="H6" s="11">
        <f t="shared" si="1"/>
        <v>1</v>
      </c>
      <c r="J6" s="6" t="s">
        <v>53</v>
      </c>
      <c r="K6" s="1">
        <f t="shared" si="2"/>
        <v>10</v>
      </c>
      <c r="L6" s="1">
        <v>7.8</v>
      </c>
    </row>
    <row r="7" spans="1:12" ht="20.100000000000001" customHeight="1" x14ac:dyDescent="0.25">
      <c r="A7" s="5" t="s">
        <v>14</v>
      </c>
      <c r="B7" s="6" t="s">
        <v>15</v>
      </c>
      <c r="C7" s="6" t="s">
        <v>9</v>
      </c>
      <c r="D7" s="7" t="s">
        <v>16</v>
      </c>
      <c r="E7" s="14">
        <v>6</v>
      </c>
      <c r="F7" s="14">
        <f t="shared" si="0"/>
        <v>1.5</v>
      </c>
      <c r="G7" s="11">
        <v>3</v>
      </c>
      <c r="H7" s="11">
        <f t="shared" si="1"/>
        <v>0.8</v>
      </c>
      <c r="J7" s="6" t="s">
        <v>39</v>
      </c>
      <c r="K7" s="1">
        <f t="shared" si="2"/>
        <v>16</v>
      </c>
      <c r="L7" s="1">
        <v>7.8</v>
      </c>
    </row>
    <row r="8" spans="1:12" ht="20.100000000000001" customHeight="1" x14ac:dyDescent="0.25">
      <c r="A8" s="5" t="s">
        <v>20</v>
      </c>
      <c r="B8" s="6" t="s">
        <v>21</v>
      </c>
      <c r="C8" s="6" t="s">
        <v>22</v>
      </c>
      <c r="D8" s="7" t="s">
        <v>23</v>
      </c>
      <c r="E8" s="14">
        <v>6</v>
      </c>
      <c r="F8" s="14">
        <f t="shared" si="0"/>
        <v>1.5</v>
      </c>
      <c r="G8" s="11">
        <v>2</v>
      </c>
      <c r="H8" s="11">
        <f t="shared" si="1"/>
        <v>0.5</v>
      </c>
    </row>
    <row r="9" spans="1:12" ht="20.100000000000001" customHeight="1" x14ac:dyDescent="0.25">
      <c r="A9" s="5" t="s">
        <v>24</v>
      </c>
      <c r="B9" s="6" t="s">
        <v>25</v>
      </c>
      <c r="C9" s="6" t="s">
        <v>22</v>
      </c>
      <c r="D9" s="7" t="s">
        <v>26</v>
      </c>
      <c r="E9" s="14">
        <v>12</v>
      </c>
      <c r="F9" s="14">
        <f t="shared" si="0"/>
        <v>3</v>
      </c>
      <c r="G9" s="11">
        <v>5</v>
      </c>
      <c r="H9" s="11">
        <f t="shared" si="1"/>
        <v>1.3</v>
      </c>
    </row>
    <row r="10" spans="1:12" ht="20.100000000000001" customHeight="1" x14ac:dyDescent="0.25">
      <c r="A10" s="5" t="s">
        <v>27</v>
      </c>
      <c r="B10" s="6" t="s">
        <v>28</v>
      </c>
      <c r="C10" s="6" t="s">
        <v>29</v>
      </c>
      <c r="D10" s="7" t="s">
        <v>30</v>
      </c>
      <c r="E10" s="14">
        <v>4</v>
      </c>
      <c r="F10" s="14">
        <f t="shared" si="0"/>
        <v>1</v>
      </c>
      <c r="G10" s="11">
        <v>4</v>
      </c>
      <c r="H10" s="11">
        <f t="shared" si="1"/>
        <v>1</v>
      </c>
    </row>
    <row r="11" spans="1:12" ht="20.100000000000001" customHeight="1" x14ac:dyDescent="0.25">
      <c r="A11" s="5" t="s">
        <v>31</v>
      </c>
      <c r="B11" s="6" t="s">
        <v>32</v>
      </c>
      <c r="C11" s="6" t="s">
        <v>29</v>
      </c>
      <c r="D11" s="7" t="s">
        <v>33</v>
      </c>
      <c r="E11" s="14">
        <v>5</v>
      </c>
      <c r="F11" s="14">
        <f t="shared" si="0"/>
        <v>1.3</v>
      </c>
      <c r="G11" s="11">
        <v>5</v>
      </c>
      <c r="H11" s="11">
        <f t="shared" si="1"/>
        <v>1.3</v>
      </c>
    </row>
    <row r="12" spans="1:12" ht="20.100000000000001" customHeight="1" x14ac:dyDescent="0.25">
      <c r="A12" s="5" t="s">
        <v>34</v>
      </c>
      <c r="B12" s="6" t="s">
        <v>35</v>
      </c>
      <c r="C12" s="6" t="s">
        <v>53</v>
      </c>
      <c r="D12" s="7" t="s">
        <v>36</v>
      </c>
      <c r="E12" s="14">
        <v>8</v>
      </c>
      <c r="F12" s="14">
        <f t="shared" si="0"/>
        <v>2</v>
      </c>
      <c r="G12" s="11">
        <v>2</v>
      </c>
      <c r="H12" s="11">
        <f t="shared" si="1"/>
        <v>0.5</v>
      </c>
    </row>
    <row r="13" spans="1:12" ht="20.100000000000001" customHeight="1" x14ac:dyDescent="0.25">
      <c r="A13" s="5" t="s">
        <v>37</v>
      </c>
      <c r="B13" s="6" t="s">
        <v>38</v>
      </c>
      <c r="C13" s="6" t="s">
        <v>53</v>
      </c>
      <c r="D13" s="7" t="s">
        <v>40</v>
      </c>
      <c r="E13" s="14">
        <v>8</v>
      </c>
      <c r="F13" s="14">
        <f t="shared" si="0"/>
        <v>2</v>
      </c>
      <c r="G13" s="11">
        <v>8</v>
      </c>
      <c r="H13" s="11">
        <f t="shared" si="1"/>
        <v>2</v>
      </c>
    </row>
    <row r="14" spans="1:12" ht="20.100000000000001" customHeight="1" x14ac:dyDescent="0.25">
      <c r="A14" s="5" t="s">
        <v>41</v>
      </c>
      <c r="B14" s="6" t="s">
        <v>42</v>
      </c>
      <c r="C14" s="6" t="s">
        <v>39</v>
      </c>
      <c r="D14" s="7" t="s">
        <v>43</v>
      </c>
      <c r="E14" s="14">
        <v>14</v>
      </c>
      <c r="F14" s="14">
        <f t="shared" si="0"/>
        <v>3.5</v>
      </c>
      <c r="G14" s="11">
        <v>8</v>
      </c>
      <c r="H14" s="11">
        <f t="shared" si="1"/>
        <v>2</v>
      </c>
    </row>
    <row r="15" spans="1:12" ht="20.100000000000001" customHeight="1" thickBot="1" x14ac:dyDescent="0.3">
      <c r="A15" s="6" t="s">
        <v>44</v>
      </c>
      <c r="B15" s="6" t="s">
        <v>45</v>
      </c>
      <c r="C15" s="6" t="s">
        <v>39</v>
      </c>
      <c r="D15" s="6" t="s">
        <v>43</v>
      </c>
      <c r="E15" s="15">
        <v>6</v>
      </c>
      <c r="F15" s="15">
        <f t="shared" si="0"/>
        <v>1.5</v>
      </c>
      <c r="G15" s="11">
        <v>8</v>
      </c>
      <c r="H15" s="11">
        <f t="shared" si="1"/>
        <v>2</v>
      </c>
    </row>
    <row r="16" spans="1:12" ht="20.100000000000001" customHeight="1" x14ac:dyDescent="0.25">
      <c r="D16" s="9" t="s">
        <v>52</v>
      </c>
      <c r="E16" s="16">
        <f>SUM(E2:E15)</f>
        <v>121</v>
      </c>
      <c r="F16" s="16">
        <f>SUM(F2:F15)</f>
        <v>30.3</v>
      </c>
      <c r="G16" s="10">
        <f>SUM(G2:G15)</f>
        <v>70</v>
      </c>
      <c r="H16" s="10">
        <f>SUM(H2:H15)</f>
        <v>17.700000000000003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Jira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menzies</dc:creator>
  <cp:lastModifiedBy>menzies</cp:lastModifiedBy>
  <dcterms:created xsi:type="dcterms:W3CDTF">2019-04-17T17:24:23Z</dcterms:created>
  <dcterms:modified xsi:type="dcterms:W3CDTF">2019-05-08T23:29:11Z</dcterms:modified>
</cp:coreProperties>
</file>